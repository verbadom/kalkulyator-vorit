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5"/>
  </sheets>
  <definedNames/>
  <calcPr/>
</workbook>
</file>

<file path=xl/sharedStrings.xml><?xml version="1.0" encoding="utf-8"?>
<sst xmlns="http://schemas.openxmlformats.org/spreadsheetml/2006/main" count="85" uniqueCount="64">
  <si>
    <t>Модель ворот</t>
  </si>
  <si>
    <t>Цена завода (грн)</t>
  </si>
  <si>
    <t>Ворота + Калитка (отдельно)</t>
  </si>
  <si>
    <t>Ворота с калиткой внутри</t>
  </si>
  <si>
    <t>Только ворота</t>
  </si>
  <si>
    <t>Стандарт</t>
  </si>
  <si>
    <t>Стандарт (Полоса)</t>
  </si>
  <si>
    <t>Стандарт 2</t>
  </si>
  <si>
    <t>Стандарт 3</t>
  </si>
  <si>
    <t>Модель №4</t>
  </si>
  <si>
    <t>Модель №5</t>
  </si>
  <si>
    <t>Модель №6 (Без металла)</t>
  </si>
  <si>
    <t>Модель №6 (С металлом)</t>
  </si>
  <si>
    <t>Модель №7 (Без металла)</t>
  </si>
  <si>
    <t>Модель №8</t>
  </si>
  <si>
    <t>Модель №2</t>
  </si>
  <si>
    <t>Модель №3</t>
  </si>
  <si>
    <t>Тип зашивки / Особенности</t>
  </si>
  <si>
    <t>Профнастил Т-10 (Вертикаль)</t>
  </si>
  <si>
    <t>Профнастил</t>
  </si>
  <si>
    <t>Профнастил Т-14 (Вертикаль)</t>
  </si>
  <si>
    <t>Профнастил Т-14 (Горизонталь)</t>
  </si>
  <si>
    <t>Профнастил Т-20 (Вертикаль)</t>
  </si>
  <si>
    <t>Профнастил Т-20 (Горизонталь)</t>
  </si>
  <si>
    <t>Металлоштакетник (Вертикаль)</t>
  </si>
  <si>
    <t>Штакетник</t>
  </si>
  <si>
    <t>Металлоштакетник (Горизонталь)</t>
  </si>
  <si>
    <t>Ранчо Ромб</t>
  </si>
  <si>
    <t>Горизонтальные ламели</t>
  </si>
  <si>
    <t>Ранчо Комбо</t>
  </si>
  <si>
    <t>Ранчо №1</t>
  </si>
  <si>
    <t>Ранчо №2</t>
  </si>
  <si>
    <t>Ранчо №3</t>
  </si>
  <si>
    <t>Жалюзи</t>
  </si>
  <si>
    <t>Ламели жалюзи</t>
  </si>
  <si>
    <t>Блок Хаус</t>
  </si>
  <si>
    <t>Имитация бревна</t>
  </si>
  <si>
    <t>Название столба</t>
  </si>
  <si>
    <t>Характеристики</t>
  </si>
  <si>
    <t>Высота/Длина</t>
  </si>
  <si>
    <t>Цена (грн)</t>
  </si>
  <si>
    <t>Некрашеный 80х60</t>
  </si>
  <si>
    <t>2 мм стенка</t>
  </si>
  <si>
    <t>3.0 м</t>
  </si>
  <si>
    <t>Некрашеный 80х80</t>
  </si>
  <si>
    <t>3 мм стенка</t>
  </si>
  <si>
    <t>Крашеный 60х60</t>
  </si>
  <si>
    <t>2.0 м</t>
  </si>
  <si>
    <t>Крашеный 80х80</t>
  </si>
  <si>
    <t>2.4 м</t>
  </si>
  <si>
    <t>Замок в калитку с установкой</t>
  </si>
  <si>
    <t>1500 грн</t>
  </si>
  <si>
    <t xml:space="preserve">Засовы на створки ворот </t>
  </si>
  <si>
    <t>600 грн (за 2 шт - комплект)</t>
  </si>
  <si>
    <t>Тип зашивки (Материал)</t>
  </si>
  <si>
    <t>Доплата к базе (грн)</t>
  </si>
  <si>
    <t>Глянцевый (база)</t>
  </si>
  <si>
    <t>0.3 мм, односторонний, бюджет</t>
  </si>
  <si>
    <t>Матовый Гарантия</t>
  </si>
  <si>
    <t>0.45 мм, односторонний, с гарантией</t>
  </si>
  <si>
    <t>Двусторонний Матовый</t>
  </si>
  <si>
    <t>0.45 мм, двусторонний, гарантия 10 лет</t>
  </si>
  <si>
    <t>Под дерево / 3D Дерево</t>
  </si>
  <si>
    <t>0.4 мм, односторонний, премиум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</si>
</sst>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5.38"/>
    <col customWidth="1" min="3" max="3" width="18.75"/>
    <col customWidth="1" min="4" max="4" width="24.0"/>
    <col customWidth="1" min="5" max="5" width="22.63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</row>
    <row r="2">
      <c r="A2" s="1" t="s">
        <v>5</v>
      </c>
      <c r="B2" s="2">
        <v>16500.0</v>
      </c>
      <c r="C2" s="3"/>
      <c r="D2" s="5">
        <f t="shared" ref="D2:D13" si="1">CEILING(VALUE(B2)*0.2325,1)</f>
        <v>3837</v>
      </c>
      <c r="E2" s="5">
        <f t="shared" ref="E2:E13" si="2">CEILING(VALUE(B2)*0.2421,1)</f>
        <v>3995</v>
      </c>
      <c r="F2" s="5">
        <f t="shared" ref="F2:F13" si="3">CEILING(VALUE(B2)*0.2427,1)</f>
        <v>4005</v>
      </c>
    </row>
    <row r="3">
      <c r="A3" s="1" t="s">
        <v>6</v>
      </c>
      <c r="B3" s="2">
        <v>16500.0</v>
      </c>
      <c r="C3" s="3"/>
      <c r="D3" s="5">
        <f t="shared" si="1"/>
        <v>3837</v>
      </c>
      <c r="E3" s="5">
        <f t="shared" si="2"/>
        <v>3995</v>
      </c>
      <c r="F3" s="5">
        <f t="shared" si="3"/>
        <v>4005</v>
      </c>
    </row>
    <row r="4">
      <c r="A4" s="1" t="s">
        <v>7</v>
      </c>
      <c r="B4" s="2">
        <v>16500.0</v>
      </c>
      <c r="C4" s="3"/>
      <c r="D4" s="5">
        <f t="shared" si="1"/>
        <v>3837</v>
      </c>
      <c r="E4" s="5">
        <f t="shared" si="2"/>
        <v>3995</v>
      </c>
      <c r="F4" s="5">
        <f t="shared" si="3"/>
        <v>4005</v>
      </c>
    </row>
    <row r="5">
      <c r="A5" s="1" t="s">
        <v>8</v>
      </c>
      <c r="B5" s="2">
        <v>17500.0</v>
      </c>
      <c r="C5" s="3"/>
      <c r="D5" s="5">
        <f t="shared" si="1"/>
        <v>4069</v>
      </c>
      <c r="E5" s="5">
        <f t="shared" si="2"/>
        <v>4237</v>
      </c>
      <c r="F5" s="5">
        <f t="shared" si="3"/>
        <v>4248</v>
      </c>
    </row>
    <row r="6">
      <c r="A6" s="1" t="s">
        <v>9</v>
      </c>
      <c r="B6" s="2">
        <v>18100.0</v>
      </c>
      <c r="C6" s="3"/>
      <c r="D6" s="5">
        <f t="shared" si="1"/>
        <v>4209</v>
      </c>
      <c r="E6" s="5">
        <f t="shared" si="2"/>
        <v>4383</v>
      </c>
      <c r="F6" s="5">
        <f t="shared" si="3"/>
        <v>4393</v>
      </c>
    </row>
    <row r="7">
      <c r="A7" s="1" t="s">
        <v>10</v>
      </c>
      <c r="B7" s="2">
        <v>19500.0</v>
      </c>
      <c r="C7" s="3"/>
      <c r="D7" s="5">
        <f t="shared" si="1"/>
        <v>4534</v>
      </c>
      <c r="E7" s="5">
        <f t="shared" si="2"/>
        <v>4721</v>
      </c>
      <c r="F7" s="5">
        <f t="shared" si="3"/>
        <v>4733</v>
      </c>
    </row>
    <row r="8">
      <c r="A8" s="1" t="s">
        <v>11</v>
      </c>
      <c r="B8" s="2">
        <v>23800.0</v>
      </c>
      <c r="C8" s="3"/>
      <c r="D8" s="5">
        <f t="shared" si="1"/>
        <v>5534</v>
      </c>
      <c r="E8" s="5">
        <f t="shared" si="2"/>
        <v>5762</v>
      </c>
      <c r="F8" s="5">
        <f t="shared" si="3"/>
        <v>5777</v>
      </c>
    </row>
    <row r="9">
      <c r="A9" s="1" t="s">
        <v>12</v>
      </c>
      <c r="B9" s="2">
        <v>24100.0</v>
      </c>
      <c r="C9" s="3"/>
      <c r="D9" s="5">
        <f t="shared" si="1"/>
        <v>5604</v>
      </c>
      <c r="E9" s="5">
        <f t="shared" si="2"/>
        <v>5835</v>
      </c>
      <c r="F9" s="5">
        <f t="shared" si="3"/>
        <v>5850</v>
      </c>
    </row>
    <row r="10">
      <c r="A10" s="1" t="s">
        <v>13</v>
      </c>
      <c r="B10" s="2">
        <v>23800.0</v>
      </c>
      <c r="C10" s="3"/>
      <c r="D10" s="5">
        <f t="shared" si="1"/>
        <v>5534</v>
      </c>
      <c r="E10" s="5">
        <f t="shared" si="2"/>
        <v>5762</v>
      </c>
      <c r="F10" s="5">
        <f t="shared" si="3"/>
        <v>5777</v>
      </c>
    </row>
    <row r="11">
      <c r="A11" s="1" t="s">
        <v>14</v>
      </c>
      <c r="B11" s="2">
        <v>20500.0</v>
      </c>
      <c r="C11" s="3"/>
      <c r="D11" s="5">
        <f t="shared" si="1"/>
        <v>4767</v>
      </c>
      <c r="E11" s="5">
        <f t="shared" si="2"/>
        <v>4964</v>
      </c>
      <c r="F11" s="5">
        <f t="shared" si="3"/>
        <v>4976</v>
      </c>
    </row>
    <row r="12">
      <c r="A12" s="1" t="s">
        <v>15</v>
      </c>
      <c r="B12" s="2">
        <v>19900.0</v>
      </c>
      <c r="C12" s="3"/>
      <c r="D12" s="5">
        <f t="shared" si="1"/>
        <v>4627</v>
      </c>
      <c r="E12" s="5">
        <f t="shared" si="2"/>
        <v>4818</v>
      </c>
      <c r="F12" s="5">
        <f t="shared" si="3"/>
        <v>4830</v>
      </c>
    </row>
    <row r="13">
      <c r="A13" s="1" t="s">
        <v>16</v>
      </c>
      <c r="B13" s="2">
        <v>18500.0</v>
      </c>
      <c r="C13" s="3"/>
      <c r="D13" s="5">
        <f t="shared" si="1"/>
        <v>4302</v>
      </c>
      <c r="E13" s="5">
        <f t="shared" si="2"/>
        <v>4479</v>
      </c>
      <c r="F13" s="5">
        <f t="shared" si="3"/>
        <v>4490</v>
      </c>
    </row>
    <row r="14">
      <c r="B14" s="3"/>
      <c r="C14" s="3"/>
    </row>
    <row r="15">
      <c r="A15" s="1" t="s">
        <v>0</v>
      </c>
      <c r="B15" s="2" t="s">
        <v>17</v>
      </c>
      <c r="C15" s="2" t="s">
        <v>1</v>
      </c>
    </row>
    <row r="16">
      <c r="A16" s="6" t="s">
        <v>18</v>
      </c>
      <c r="B16" s="2" t="s">
        <v>19</v>
      </c>
      <c r="C16" s="7">
        <v>21800.0</v>
      </c>
      <c r="D16" s="5">
        <f t="shared" ref="D16:D29" si="4">CEILING(C16*0.2325,1)</f>
        <v>5069</v>
      </c>
      <c r="E16" s="5">
        <f t="shared" ref="E16:E29" si="5">CEILING(C16*0.2421,1)</f>
        <v>5278</v>
      </c>
      <c r="F16" s="5">
        <f t="shared" ref="F16:F29" si="6">CEILING(C16*0.2427,1)</f>
        <v>5291</v>
      </c>
    </row>
    <row r="17">
      <c r="A17" s="6" t="s">
        <v>20</v>
      </c>
      <c r="B17" s="2" t="s">
        <v>19</v>
      </c>
      <c r="C17" s="7">
        <v>21800.0</v>
      </c>
      <c r="D17" s="5">
        <f t="shared" si="4"/>
        <v>5069</v>
      </c>
      <c r="E17" s="5">
        <f t="shared" si="5"/>
        <v>5278</v>
      </c>
      <c r="F17" s="5">
        <f t="shared" si="6"/>
        <v>5291</v>
      </c>
    </row>
    <row r="18">
      <c r="A18" s="6" t="s">
        <v>21</v>
      </c>
      <c r="B18" s="2" t="s">
        <v>19</v>
      </c>
      <c r="C18" s="7">
        <v>21800.0</v>
      </c>
      <c r="D18" s="5">
        <f t="shared" si="4"/>
        <v>5069</v>
      </c>
      <c r="E18" s="5">
        <f t="shared" si="5"/>
        <v>5278</v>
      </c>
      <c r="F18" s="5">
        <f t="shared" si="6"/>
        <v>5291</v>
      </c>
    </row>
    <row r="19">
      <c r="A19" s="6" t="s">
        <v>22</v>
      </c>
      <c r="B19" s="2" t="s">
        <v>19</v>
      </c>
      <c r="C19" s="7">
        <v>21800.0</v>
      </c>
      <c r="D19" s="5">
        <f t="shared" si="4"/>
        <v>5069</v>
      </c>
      <c r="E19" s="5">
        <f t="shared" si="5"/>
        <v>5278</v>
      </c>
      <c r="F19" s="5">
        <f t="shared" si="6"/>
        <v>5291</v>
      </c>
    </row>
    <row r="20">
      <c r="A20" s="6" t="s">
        <v>23</v>
      </c>
      <c r="B20" s="2" t="s">
        <v>19</v>
      </c>
      <c r="C20" s="7">
        <v>21800.0</v>
      </c>
      <c r="D20" s="5">
        <f t="shared" si="4"/>
        <v>5069</v>
      </c>
      <c r="E20" s="5">
        <f t="shared" si="5"/>
        <v>5278</v>
      </c>
      <c r="F20" s="5">
        <f t="shared" si="6"/>
        <v>5291</v>
      </c>
    </row>
    <row r="21">
      <c r="A21" s="6" t="s">
        <v>24</v>
      </c>
      <c r="B21" s="2" t="s">
        <v>25</v>
      </c>
      <c r="C21" s="7">
        <v>25300.0</v>
      </c>
      <c r="D21" s="5">
        <f t="shared" si="4"/>
        <v>5883</v>
      </c>
      <c r="E21" s="5">
        <f t="shared" si="5"/>
        <v>6126</v>
      </c>
      <c r="F21" s="5">
        <f t="shared" si="6"/>
        <v>6141</v>
      </c>
    </row>
    <row r="22">
      <c r="A22" s="6" t="s">
        <v>26</v>
      </c>
      <c r="B22" s="2" t="s">
        <v>25</v>
      </c>
      <c r="C22" s="7">
        <v>25300.0</v>
      </c>
      <c r="D22" s="5">
        <f t="shared" si="4"/>
        <v>5883</v>
      </c>
      <c r="E22" s="5">
        <f t="shared" si="5"/>
        <v>6126</v>
      </c>
      <c r="F22" s="5">
        <f t="shared" si="6"/>
        <v>6141</v>
      </c>
    </row>
    <row r="23">
      <c r="A23" s="6" t="s">
        <v>27</v>
      </c>
      <c r="B23" s="2" t="s">
        <v>28</v>
      </c>
      <c r="C23" s="7">
        <v>30500.0</v>
      </c>
      <c r="D23" s="5">
        <f t="shared" si="4"/>
        <v>7092</v>
      </c>
      <c r="E23" s="5">
        <f t="shared" si="5"/>
        <v>7385</v>
      </c>
      <c r="F23" s="5">
        <f t="shared" si="6"/>
        <v>7403</v>
      </c>
    </row>
    <row r="24">
      <c r="A24" s="6" t="s">
        <v>29</v>
      </c>
      <c r="B24" s="2" t="s">
        <v>28</v>
      </c>
      <c r="C24" s="7">
        <v>30000.0</v>
      </c>
      <c r="D24" s="5">
        <f t="shared" si="4"/>
        <v>6975</v>
      </c>
      <c r="E24" s="5">
        <f t="shared" si="5"/>
        <v>7263</v>
      </c>
      <c r="F24" s="5">
        <f t="shared" si="6"/>
        <v>7281</v>
      </c>
    </row>
    <row r="25">
      <c r="A25" s="6" t="s">
        <v>30</v>
      </c>
      <c r="B25" s="2" t="s">
        <v>28</v>
      </c>
      <c r="C25" s="7">
        <v>26500.0</v>
      </c>
      <c r="D25" s="5">
        <f t="shared" si="4"/>
        <v>6162</v>
      </c>
      <c r="E25" s="5">
        <f t="shared" si="5"/>
        <v>6416</v>
      </c>
      <c r="F25" s="5">
        <f t="shared" si="6"/>
        <v>6432</v>
      </c>
    </row>
    <row r="26">
      <c r="A26" s="6" t="s">
        <v>31</v>
      </c>
      <c r="B26" s="2" t="s">
        <v>28</v>
      </c>
      <c r="C26" s="7">
        <v>33450.0</v>
      </c>
      <c r="D26" s="5">
        <f t="shared" si="4"/>
        <v>7778</v>
      </c>
      <c r="E26" s="5">
        <f t="shared" si="5"/>
        <v>8099</v>
      </c>
      <c r="F26" s="5">
        <f t="shared" si="6"/>
        <v>8119</v>
      </c>
    </row>
    <row r="27">
      <c r="A27" s="6" t="s">
        <v>32</v>
      </c>
      <c r="B27" s="2" t="s">
        <v>28</v>
      </c>
      <c r="C27" s="7">
        <v>30600.0</v>
      </c>
      <c r="D27" s="5">
        <f t="shared" si="4"/>
        <v>7115</v>
      </c>
      <c r="E27" s="5">
        <f t="shared" si="5"/>
        <v>7409</v>
      </c>
      <c r="F27" s="5">
        <f t="shared" si="6"/>
        <v>7427</v>
      </c>
    </row>
    <row r="28">
      <c r="A28" s="6" t="s">
        <v>33</v>
      </c>
      <c r="B28" s="2" t="s">
        <v>34</v>
      </c>
      <c r="C28" s="7">
        <v>29440.0</v>
      </c>
      <c r="D28" s="5">
        <f t="shared" si="4"/>
        <v>6845</v>
      </c>
      <c r="E28" s="5">
        <f t="shared" si="5"/>
        <v>7128</v>
      </c>
      <c r="F28" s="5">
        <f t="shared" si="6"/>
        <v>7146</v>
      </c>
    </row>
    <row r="29">
      <c r="A29" s="6" t="s">
        <v>35</v>
      </c>
      <c r="B29" s="2" t="s">
        <v>36</v>
      </c>
      <c r="C29" s="7">
        <v>22400.0</v>
      </c>
      <c r="D29" s="5">
        <f t="shared" si="4"/>
        <v>5208</v>
      </c>
      <c r="E29" s="5">
        <f t="shared" si="5"/>
        <v>5424</v>
      </c>
      <c r="F29" s="5">
        <f t="shared" si="6"/>
        <v>5437</v>
      </c>
    </row>
    <row r="30">
      <c r="B30" s="3"/>
      <c r="C30" s="3"/>
    </row>
    <row r="31">
      <c r="A31" s="1" t="s">
        <v>37</v>
      </c>
      <c r="B31" s="2" t="s">
        <v>38</v>
      </c>
      <c r="C31" s="2" t="s">
        <v>39</v>
      </c>
      <c r="D31" s="1" t="s">
        <v>40</v>
      </c>
      <c r="E31" s="1"/>
      <c r="F31" s="1"/>
      <c r="G31" s="1"/>
    </row>
    <row r="32">
      <c r="A32" s="1" t="s">
        <v>41</v>
      </c>
      <c r="B32" s="2" t="s">
        <v>42</v>
      </c>
      <c r="C32" s="2" t="s">
        <v>43</v>
      </c>
      <c r="D32" s="1">
        <v>775.0</v>
      </c>
      <c r="E32" s="1"/>
      <c r="F32" s="1"/>
      <c r="G32" s="1"/>
    </row>
    <row r="33">
      <c r="A33" s="1" t="s">
        <v>44</v>
      </c>
      <c r="B33" s="2" t="s">
        <v>45</v>
      </c>
      <c r="C33" s="2" t="s">
        <v>43</v>
      </c>
      <c r="D33" s="1">
        <v>1120.0</v>
      </c>
      <c r="E33" s="1"/>
      <c r="F33" s="1"/>
      <c r="G33" s="1"/>
    </row>
    <row r="34">
      <c r="A34" s="1" t="s">
        <v>46</v>
      </c>
      <c r="B34" s="2" t="s">
        <v>42</v>
      </c>
      <c r="C34" s="2" t="s">
        <v>47</v>
      </c>
      <c r="D34" s="1">
        <v>750.0</v>
      </c>
      <c r="E34" s="1"/>
      <c r="F34" s="1"/>
      <c r="G34" s="1"/>
    </row>
    <row r="35">
      <c r="A35" s="1" t="s">
        <v>48</v>
      </c>
      <c r="B35" s="2" t="s">
        <v>45</v>
      </c>
      <c r="C35" s="2" t="s">
        <v>47</v>
      </c>
      <c r="D35" s="1">
        <v>1240.0</v>
      </c>
      <c r="E35" s="1"/>
      <c r="F35" s="1"/>
      <c r="G35" s="1"/>
    </row>
    <row r="36">
      <c r="A36" s="1" t="s">
        <v>46</v>
      </c>
      <c r="B36" s="2" t="s">
        <v>42</v>
      </c>
      <c r="C36" s="2" t="s">
        <v>49</v>
      </c>
      <c r="D36" s="1">
        <v>950.0</v>
      </c>
      <c r="E36" s="1"/>
      <c r="F36" s="1"/>
      <c r="G36" s="1"/>
    </row>
    <row r="37">
      <c r="A37" s="1" t="s">
        <v>48</v>
      </c>
      <c r="B37" s="2" t="s">
        <v>45</v>
      </c>
      <c r="C37" s="2" t="s">
        <v>49</v>
      </c>
      <c r="D37" s="1">
        <v>1560.0</v>
      </c>
      <c r="E37" s="1"/>
      <c r="F37" s="1"/>
      <c r="G37" s="1"/>
    </row>
    <row r="38">
      <c r="B38" s="3"/>
      <c r="C38" s="3"/>
    </row>
    <row r="39">
      <c r="A39" s="8" t="s">
        <v>50</v>
      </c>
      <c r="B39" s="9" t="s">
        <v>51</v>
      </c>
      <c r="C39" s="3"/>
    </row>
    <row r="40">
      <c r="A40" s="4" t="s">
        <v>52</v>
      </c>
      <c r="B40" s="9" t="s">
        <v>53</v>
      </c>
      <c r="C40" s="3"/>
    </row>
    <row r="41">
      <c r="B41" s="3"/>
      <c r="C41" s="3"/>
    </row>
    <row r="42">
      <c r="A42" s="1" t="s">
        <v>54</v>
      </c>
      <c r="B42" s="2" t="s">
        <v>38</v>
      </c>
      <c r="C42" s="2" t="s">
        <v>55</v>
      </c>
    </row>
    <row r="43">
      <c r="A43" s="6" t="s">
        <v>56</v>
      </c>
      <c r="B43" s="2" t="s">
        <v>57</v>
      </c>
      <c r="C43" s="10">
        <f>+ 0</f>
        <v>0</v>
      </c>
    </row>
    <row r="44">
      <c r="A44" s="6" t="s">
        <v>58</v>
      </c>
      <c r="B44" s="2" t="s">
        <v>59</v>
      </c>
      <c r="C44" s="10">
        <f>+ 300</f>
        <v>300</v>
      </c>
    </row>
    <row r="45">
      <c r="A45" s="6" t="s">
        <v>60</v>
      </c>
      <c r="B45" s="2" t="s">
        <v>61</v>
      </c>
      <c r="C45" s="10">
        <f t="shared" ref="C45:C46" si="7">+ 500</f>
        <v>500</v>
      </c>
    </row>
    <row r="46">
      <c r="A46" s="6" t="s">
        <v>62</v>
      </c>
      <c r="B46" s="2" t="s">
        <v>63</v>
      </c>
      <c r="C46" s="10">
        <f t="shared" si="7"/>
        <v>500</v>
      </c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